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melo\Desktop\"/>
    </mc:Choice>
  </mc:AlternateContent>
  <xr:revisionPtr revIDLastSave="0" documentId="8_{F30250A3-59DA-40C5-B86E-DF5C3A302D27}" xr6:coauthVersionLast="47" xr6:coauthVersionMax="47" xr10:uidLastSave="{00000000-0000-0000-0000-000000000000}"/>
  <bookViews>
    <workbookView xWindow="-120" yWindow="-120" windowWidth="24240" windowHeight="13020" xr2:uid="{73F3C4E0-B8C1-41D0-BDEF-9F42F478806F}"/>
  </bookViews>
  <sheets>
    <sheet name="COSTOS RE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8" i="1" l="1"/>
  <c r="F67" i="1"/>
  <c r="F69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56" i="1"/>
  <c r="F6" i="1"/>
  <c r="F5" i="1"/>
  <c r="F4" i="1"/>
  <c r="F3" i="1"/>
  <c r="F61" i="1"/>
  <c r="F62" i="1"/>
  <c r="F63" i="1"/>
</calcChain>
</file>

<file path=xl/sharedStrings.xml><?xml version="1.0" encoding="utf-8"?>
<sst xmlns="http://schemas.openxmlformats.org/spreadsheetml/2006/main" count="139" uniqueCount="82">
  <si>
    <t>ÍTEM</t>
  </si>
  <si>
    <t>DESCRIPCIÓN</t>
  </si>
  <si>
    <t xml:space="preserve">UNIDAD </t>
  </si>
  <si>
    <t>CANTIDAD</t>
  </si>
  <si>
    <t>PRECIO UNIT. (USD)</t>
  </si>
  <si>
    <t>TOTAL (USD)</t>
  </si>
  <si>
    <t>ALAMBRE AL.ATAR # 6</t>
  </si>
  <si>
    <t>m</t>
  </si>
  <si>
    <t>AISLADOR PORCELANA TIPO PIN NEMA 55-5</t>
  </si>
  <si>
    <t>AISLADOR POLIMERO TIPO SUSPENSION NEMA 52-1</t>
  </si>
  <si>
    <t>u</t>
  </si>
  <si>
    <t>CINTA AL. PARA ARMAR</t>
  </si>
  <si>
    <t>GRAPA LINEA ENERGIZADA CU-AL 8-2/0 HTE29</t>
  </si>
  <si>
    <t xml:space="preserve">ESTRIBO </t>
  </si>
  <si>
    <t>CABLE CU.# 8 F.P.AWG.</t>
  </si>
  <si>
    <t>CABLE CU.# 2 F.P.AWG 7 HILOS</t>
  </si>
  <si>
    <t>CABLE CU.# 6 F.P.AWG.</t>
  </si>
  <si>
    <t>AISLADOR PORCELANA TIPO RETENIDA NEMA 54-2</t>
  </si>
  <si>
    <t>ABRAZADERA REFORZADA PARA TRANSFORMADOR</t>
  </si>
  <si>
    <t>POSTE HORMIGON 10 m. 400 KGS.</t>
  </si>
  <si>
    <t>POSTE HORMIGON 12 m. 500 KGS.</t>
  </si>
  <si>
    <t>CRUCETA FE. ANGULO 51X6MM.X0.52 m.</t>
  </si>
  <si>
    <t>CRUCETA FE. ANGULO 70X70X6MM.X1.2 m.</t>
  </si>
  <si>
    <t>CRUCETA FE. ANGULO 76X76X4.8MM.X1.6 m.</t>
  </si>
  <si>
    <t>Seccionador polímero portafusible rompe arco 15 kV, 200A</t>
  </si>
  <si>
    <t>Pararrayo polímero tipo distribución HD 10 kV</t>
  </si>
  <si>
    <t>Cruceta horizontal galvanizada 2,0 m</t>
  </si>
  <si>
    <t>Aisladores tipo carrete</t>
  </si>
  <si>
    <t>Ménsulas galvanizadas</t>
  </si>
  <si>
    <t>Conector tipo comprensión Cu-Al No 6/2</t>
  </si>
  <si>
    <t>TOTAL</t>
  </si>
  <si>
    <t>Varilla de puesta a tierra cobre 5/8” x 2,4 m</t>
  </si>
  <si>
    <t>Conductor de cobre desnudo #2 AWG</t>
  </si>
  <si>
    <t>Soldadura exotérmica para puesta a tierra</t>
  </si>
  <si>
    <t>Caja moldeada/base para puesta a tierra</t>
  </si>
  <si>
    <t>Conector tipo C de cobre para tierra</t>
  </si>
  <si>
    <t xml:space="preserve">CABLE ACERO 3/8 GALV. </t>
  </si>
  <si>
    <t>GRAPA RETENSION TERMINAL PG46N - 7000 LBS.</t>
  </si>
  <si>
    <t>GUARDACABO LAMINA 9MM.</t>
  </si>
  <si>
    <t>LOSETA ANCLAJE</t>
  </si>
  <si>
    <t>CABLE AL. DESNUDO TIPO ACSR 6/1 # 2 AWG</t>
  </si>
  <si>
    <t>PERNO EXTENSION TACHO 5/8" X 15"</t>
  </si>
  <si>
    <t>TERMINAL PREFORMADO CABLE TENSOR # 3/8</t>
  </si>
  <si>
    <t>TUERCA OJO 16 MM.</t>
  </si>
  <si>
    <t>VARILLA ANCLAJE</t>
  </si>
  <si>
    <t>REVERSIBLES 2"</t>
  </si>
  <si>
    <t>UNIONES</t>
  </si>
  <si>
    <t>TERMINAL TIPO TALON 250 MCM</t>
  </si>
  <si>
    <t xml:space="preserve">TUBOS EMT </t>
  </si>
  <si>
    <t>U</t>
  </si>
  <si>
    <t>abrazaderas de tres pernos</t>
  </si>
  <si>
    <t>abrazaderas tipo U (U-bolt galvanizado)</t>
  </si>
  <si>
    <t>CABLE TTU DE COBRE # 2</t>
  </si>
  <si>
    <t>CABLE TTU DE COBRE # 2/0</t>
  </si>
  <si>
    <t>Tablero eléctrico para los motores</t>
  </si>
  <si>
    <t>Breaker térmico de caja moldeada de 200 amperios</t>
  </si>
  <si>
    <t>TRANSFORMADOR TRIFÁSICO 125 kVA 13.8 kV / 220 V AUTOPROTEGIDO</t>
  </si>
  <si>
    <t>SUPRESOR DE PICOS (SPD / TVSS)</t>
  </si>
  <si>
    <t>VARIADOR DE FRECUENCIA (≈160 A)</t>
  </si>
  <si>
    <t>SUBTOTOTAL MATERIALES</t>
  </si>
  <si>
    <t>SUBTOTAL MANO DE OBRA</t>
  </si>
  <si>
    <t>DISEÑO, APROBACIÓN Y LEGALIZACIÓN DE DOCUMENTOS EN LA EEASA</t>
  </si>
  <si>
    <t>DIRECCIÓN TÉCNICA, INGRESO AL SISTEMA ARCGIS Y TRABAJOS EN LINEAS ENERGIZADAS</t>
  </si>
  <si>
    <t>TRANSPORTE DE EQUIPOS, MATERIALES PRUEBAS DE TRANSFORMADOR</t>
  </si>
  <si>
    <t>IVA 15%</t>
  </si>
  <si>
    <t>TOTAL SIN IVA</t>
  </si>
  <si>
    <t>TOTAL CON IVA</t>
  </si>
  <si>
    <t>COSTOS DEL PROYECTO</t>
  </si>
  <si>
    <t>COSTOS DEL MEDIDOR Y PAGO EMPRESA</t>
  </si>
  <si>
    <t>Breaker 400 A MCCB</t>
  </si>
  <si>
    <t>Medidor trifásico + gestión EEASA</t>
  </si>
  <si>
    <t>Contactor</t>
  </si>
  <si>
    <t>Protección térmica / guardamotor</t>
  </si>
  <si>
    <t>pérdida de fase</t>
  </si>
  <si>
    <t>bajo voltaje</t>
  </si>
  <si>
    <t>protege el motor (NO el cable)</t>
  </si>
  <si>
    <t>evita que se queme</t>
  </si>
  <si>
    <t>paro de emergencia</t>
  </si>
  <si>
    <t>mantenimiento</t>
  </si>
  <si>
    <t>para bajar consumo de energía y arranque suave motor</t>
  </si>
  <si>
    <t>protege contra rayos / picos</t>
  </si>
  <si>
    <t>Relé de protección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</si>
</sst>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7FD0C-1FD5-4228-B0B6-180F8632C279}">
  <dimension ref="A1:K69"/>
  <sheetViews>
    <sheetView tabSelected="1" workbookViewId="0">
      <selection activeCell="G47" sqref="G47:K60"/>
    </sheetView>
  </sheetViews>
  <sheetFormatPr baseColWidth="10" defaultRowHeight="15" x14ac:dyDescent="0.25"/>
  <cols>
    <col min="2" max="2" width="66.42578125" customWidth="1"/>
    <col min="3" max="3" width="9.5703125" customWidth="1"/>
    <col min="4" max="4" width="11.140625" customWidth="1"/>
    <col min="5" max="5" width="26.140625" customWidth="1"/>
    <col min="6" max="6" width="15.140625" customWidth="1"/>
  </cols>
  <sheetData>
    <row r="1" spans="1:6" x14ac:dyDescent="0.25">
      <c r="A1" s="7" t="s">
        <v>67</v>
      </c>
      <c r="B1" s="7"/>
      <c r="C1" s="7"/>
      <c r="D1" s="7"/>
      <c r="E1" s="7"/>
      <c r="F1" s="7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4">
        <v>1</v>
      </c>
      <c r="B3" s="4" t="s">
        <v>6</v>
      </c>
      <c r="C3" s="4" t="s">
        <v>7</v>
      </c>
      <c r="D3" s="4">
        <v>0</v>
      </c>
      <c r="E3" s="4">
        <v>0.99</v>
      </c>
      <c r="F3" s="4">
        <f t="shared" ref="F3:F34" si="0">+D3*E3</f>
        <v>0</v>
      </c>
    </row>
    <row r="4" spans="1:6" x14ac:dyDescent="0.25">
      <c r="A4" s="4">
        <v>2</v>
      </c>
      <c r="B4" s="4" t="s">
        <v>11</v>
      </c>
      <c r="C4" s="4" t="s">
        <v>10</v>
      </c>
      <c r="D4" s="4">
        <v>0</v>
      </c>
      <c r="E4" s="4">
        <v>1.96</v>
      </c>
      <c r="F4" s="4">
        <f t="shared" si="0"/>
        <v>0</v>
      </c>
    </row>
    <row r="5" spans="1:6" x14ac:dyDescent="0.25">
      <c r="A5" s="4">
        <v>3</v>
      </c>
      <c r="B5" s="4" t="s">
        <v>12</v>
      </c>
      <c r="C5" s="4" t="s">
        <v>10</v>
      </c>
      <c r="D5" s="4">
        <v>0</v>
      </c>
      <c r="E5" s="4">
        <v>10.08</v>
      </c>
      <c r="F5" s="4">
        <f t="shared" si="0"/>
        <v>0</v>
      </c>
    </row>
    <row r="6" spans="1:6" x14ac:dyDescent="0.25">
      <c r="A6" s="4">
        <v>4</v>
      </c>
      <c r="B6" s="4" t="s">
        <v>13</v>
      </c>
      <c r="C6" s="4" t="s">
        <v>10</v>
      </c>
      <c r="D6" s="4">
        <v>3</v>
      </c>
      <c r="E6" s="4">
        <v>3.86</v>
      </c>
      <c r="F6" s="4">
        <f t="shared" si="0"/>
        <v>11.58</v>
      </c>
    </row>
    <row r="7" spans="1:6" x14ac:dyDescent="0.25">
      <c r="A7" s="4">
        <v>5</v>
      </c>
      <c r="B7" s="4" t="s">
        <v>16</v>
      </c>
      <c r="C7" s="4" t="s">
        <v>7</v>
      </c>
      <c r="D7" s="4">
        <v>6</v>
      </c>
      <c r="E7" s="4">
        <v>2.7</v>
      </c>
      <c r="F7" s="4">
        <f t="shared" si="0"/>
        <v>16.200000000000003</v>
      </c>
    </row>
    <row r="8" spans="1:6" x14ac:dyDescent="0.25">
      <c r="A8" s="4">
        <v>6</v>
      </c>
      <c r="B8" s="4" t="s">
        <v>14</v>
      </c>
      <c r="C8" s="4" t="s">
        <v>7</v>
      </c>
      <c r="D8" s="4">
        <v>0</v>
      </c>
      <c r="E8" s="4">
        <v>0.92</v>
      </c>
      <c r="F8" s="4">
        <f t="shared" si="0"/>
        <v>0</v>
      </c>
    </row>
    <row r="9" spans="1:6" x14ac:dyDescent="0.25">
      <c r="A9" s="4">
        <v>7</v>
      </c>
      <c r="B9" s="4" t="s">
        <v>15</v>
      </c>
      <c r="C9" s="4" t="s">
        <v>7</v>
      </c>
      <c r="D9" s="4">
        <v>0</v>
      </c>
      <c r="E9" s="4">
        <v>3.65</v>
      </c>
      <c r="F9" s="4">
        <f t="shared" si="0"/>
        <v>0</v>
      </c>
    </row>
    <row r="10" spans="1:6" x14ac:dyDescent="0.25">
      <c r="A10" s="4">
        <v>8</v>
      </c>
      <c r="B10" s="4" t="s">
        <v>8</v>
      </c>
      <c r="C10" s="4" t="s">
        <v>10</v>
      </c>
      <c r="D10" s="4">
        <v>3</v>
      </c>
      <c r="E10" s="4">
        <v>12.54</v>
      </c>
      <c r="F10" s="4">
        <f t="shared" si="0"/>
        <v>37.619999999999997</v>
      </c>
    </row>
    <row r="11" spans="1:6" x14ac:dyDescent="0.25">
      <c r="A11" s="4">
        <v>9</v>
      </c>
      <c r="B11" s="4" t="s">
        <v>17</v>
      </c>
      <c r="C11" s="4" t="s">
        <v>10</v>
      </c>
      <c r="D11" s="4">
        <v>0</v>
      </c>
      <c r="E11" s="4">
        <v>5.84</v>
      </c>
      <c r="F11" s="4">
        <f t="shared" si="0"/>
        <v>0</v>
      </c>
    </row>
    <row r="12" spans="1:6" x14ac:dyDescent="0.25">
      <c r="A12" s="4">
        <v>10</v>
      </c>
      <c r="B12" s="4" t="s">
        <v>9</v>
      </c>
      <c r="C12" s="4" t="s">
        <v>10</v>
      </c>
      <c r="D12" s="4">
        <v>0</v>
      </c>
      <c r="E12" s="4">
        <v>27.09</v>
      </c>
      <c r="F12" s="4">
        <f t="shared" si="0"/>
        <v>0</v>
      </c>
    </row>
    <row r="13" spans="1:6" x14ac:dyDescent="0.25">
      <c r="A13" s="4">
        <v>11</v>
      </c>
      <c r="B13" s="4" t="s">
        <v>18</v>
      </c>
      <c r="C13" s="4" t="s">
        <v>10</v>
      </c>
      <c r="D13" s="4">
        <v>0</v>
      </c>
      <c r="E13" s="4">
        <v>14.84</v>
      </c>
      <c r="F13" s="4">
        <f t="shared" si="0"/>
        <v>0</v>
      </c>
    </row>
    <row r="14" spans="1:6" x14ac:dyDescent="0.25">
      <c r="A14" s="4">
        <v>12</v>
      </c>
      <c r="B14" s="4" t="s">
        <v>19</v>
      </c>
      <c r="C14" s="4" t="s">
        <v>10</v>
      </c>
      <c r="D14" s="4">
        <v>0</v>
      </c>
      <c r="E14" s="4">
        <v>194.87</v>
      </c>
      <c r="F14" s="4">
        <f t="shared" si="0"/>
        <v>0</v>
      </c>
    </row>
    <row r="15" spans="1:6" x14ac:dyDescent="0.25">
      <c r="A15" s="4">
        <v>13</v>
      </c>
      <c r="B15" s="4" t="s">
        <v>20</v>
      </c>
      <c r="C15" s="4" t="s">
        <v>10</v>
      </c>
      <c r="D15" s="4">
        <v>1</v>
      </c>
      <c r="E15" s="4">
        <v>274.87</v>
      </c>
      <c r="F15" s="4">
        <f t="shared" si="0"/>
        <v>274.87</v>
      </c>
    </row>
    <row r="16" spans="1:6" x14ac:dyDescent="0.25">
      <c r="A16" s="4">
        <v>14</v>
      </c>
      <c r="B16" s="4" t="s">
        <v>21</v>
      </c>
      <c r="C16" s="4" t="s">
        <v>10</v>
      </c>
      <c r="D16" s="4">
        <v>0</v>
      </c>
      <c r="E16" s="4">
        <v>10.74</v>
      </c>
      <c r="F16" s="4">
        <f t="shared" si="0"/>
        <v>0</v>
      </c>
    </row>
    <row r="17" spans="1:6" x14ac:dyDescent="0.25">
      <c r="A17" s="4">
        <v>15</v>
      </c>
      <c r="B17" s="4" t="s">
        <v>22</v>
      </c>
      <c r="C17" s="4" t="s">
        <v>10</v>
      </c>
      <c r="D17" s="4">
        <v>0</v>
      </c>
      <c r="E17" s="4">
        <v>12.52</v>
      </c>
      <c r="F17" s="4">
        <f t="shared" si="0"/>
        <v>0</v>
      </c>
    </row>
    <row r="18" spans="1:6" x14ac:dyDescent="0.25">
      <c r="A18" s="4">
        <v>16</v>
      </c>
      <c r="B18" s="4" t="s">
        <v>23</v>
      </c>
      <c r="C18" s="4" t="s">
        <v>10</v>
      </c>
      <c r="D18" s="4">
        <v>2</v>
      </c>
      <c r="E18" s="4">
        <v>16.7</v>
      </c>
      <c r="F18" s="4">
        <f t="shared" si="0"/>
        <v>33.4</v>
      </c>
    </row>
    <row r="19" spans="1:6" x14ac:dyDescent="0.25">
      <c r="A19" s="4">
        <v>17</v>
      </c>
      <c r="B19" s="4" t="s">
        <v>26</v>
      </c>
      <c r="C19" s="4" t="s">
        <v>10</v>
      </c>
      <c r="D19" s="4">
        <v>1</v>
      </c>
      <c r="E19" s="4">
        <v>45</v>
      </c>
      <c r="F19" s="4">
        <f t="shared" si="0"/>
        <v>45</v>
      </c>
    </row>
    <row r="20" spans="1:6" x14ac:dyDescent="0.25">
      <c r="A20" s="4">
        <v>18</v>
      </c>
      <c r="B20" s="4" t="s">
        <v>24</v>
      </c>
      <c r="C20" s="4" t="s">
        <v>10</v>
      </c>
      <c r="D20" s="4">
        <v>0</v>
      </c>
      <c r="E20" s="4">
        <v>220</v>
      </c>
      <c r="F20" s="4">
        <f t="shared" si="0"/>
        <v>0</v>
      </c>
    </row>
    <row r="21" spans="1:6" x14ac:dyDescent="0.25">
      <c r="A21" s="4">
        <v>19</v>
      </c>
      <c r="B21" s="1" t="s">
        <v>25</v>
      </c>
      <c r="C21" s="4" t="s">
        <v>10</v>
      </c>
      <c r="D21" s="4">
        <v>3</v>
      </c>
      <c r="E21" s="4">
        <v>100</v>
      </c>
      <c r="F21" s="4">
        <f t="shared" si="0"/>
        <v>300</v>
      </c>
    </row>
    <row r="22" spans="1:6" x14ac:dyDescent="0.25">
      <c r="A22" s="4">
        <v>20</v>
      </c>
      <c r="B22" s="4" t="s">
        <v>27</v>
      </c>
      <c r="C22" s="4" t="s">
        <v>10</v>
      </c>
      <c r="D22" s="4">
        <v>3</v>
      </c>
      <c r="E22" s="4">
        <v>12</v>
      </c>
      <c r="F22" s="4">
        <f t="shared" si="0"/>
        <v>36</v>
      </c>
    </row>
    <row r="23" spans="1:6" x14ac:dyDescent="0.25">
      <c r="A23" s="4">
        <v>21</v>
      </c>
      <c r="B23" s="4" t="s">
        <v>28</v>
      </c>
      <c r="C23" s="4" t="s">
        <v>10</v>
      </c>
      <c r="D23" s="4">
        <v>2</v>
      </c>
      <c r="E23" s="4">
        <v>60</v>
      </c>
      <c r="F23" s="4">
        <f t="shared" si="0"/>
        <v>120</v>
      </c>
    </row>
    <row r="24" spans="1:6" x14ac:dyDescent="0.25">
      <c r="A24" s="4">
        <v>22</v>
      </c>
      <c r="B24" s="4" t="s">
        <v>29</v>
      </c>
      <c r="C24" s="4" t="s">
        <v>10</v>
      </c>
      <c r="D24" s="4">
        <v>3</v>
      </c>
      <c r="E24" s="4">
        <v>2</v>
      </c>
      <c r="F24" s="4">
        <f t="shared" si="0"/>
        <v>6</v>
      </c>
    </row>
    <row r="25" spans="1:6" x14ac:dyDescent="0.25">
      <c r="A25" s="4">
        <v>23</v>
      </c>
      <c r="B25" s="4" t="s">
        <v>31</v>
      </c>
      <c r="C25" s="4" t="s">
        <v>10</v>
      </c>
      <c r="D25" s="4">
        <v>1</v>
      </c>
      <c r="E25" s="4">
        <v>15</v>
      </c>
      <c r="F25" s="4">
        <f t="shared" si="0"/>
        <v>15</v>
      </c>
    </row>
    <row r="26" spans="1:6" x14ac:dyDescent="0.25">
      <c r="A26" s="4">
        <v>24</v>
      </c>
      <c r="B26" s="4" t="s">
        <v>32</v>
      </c>
      <c r="C26" s="4" t="s">
        <v>7</v>
      </c>
      <c r="D26" s="4">
        <v>15</v>
      </c>
      <c r="E26" s="4">
        <v>6.5</v>
      </c>
      <c r="F26" s="4">
        <f t="shared" si="0"/>
        <v>97.5</v>
      </c>
    </row>
    <row r="27" spans="1:6" x14ac:dyDescent="0.25">
      <c r="A27" s="4">
        <v>25</v>
      </c>
      <c r="B27" s="4" t="s">
        <v>33</v>
      </c>
      <c r="C27" s="4" t="s">
        <v>10</v>
      </c>
      <c r="D27" s="4">
        <v>1</v>
      </c>
      <c r="E27" s="4">
        <v>20</v>
      </c>
      <c r="F27" s="4">
        <f t="shared" si="0"/>
        <v>20</v>
      </c>
    </row>
    <row r="28" spans="1:6" x14ac:dyDescent="0.25">
      <c r="A28" s="4">
        <v>26</v>
      </c>
      <c r="B28" s="4" t="s">
        <v>34</v>
      </c>
      <c r="C28" s="4" t="s">
        <v>10</v>
      </c>
      <c r="D28" s="4">
        <v>1</v>
      </c>
      <c r="E28" s="4">
        <v>20</v>
      </c>
      <c r="F28" s="4">
        <f t="shared" si="0"/>
        <v>20</v>
      </c>
    </row>
    <row r="29" spans="1:6" x14ac:dyDescent="0.25">
      <c r="A29" s="4">
        <v>27</v>
      </c>
      <c r="B29" s="4" t="s">
        <v>35</v>
      </c>
      <c r="C29" s="4" t="s">
        <v>10</v>
      </c>
      <c r="D29" s="4">
        <v>1</v>
      </c>
      <c r="E29" s="4">
        <v>6</v>
      </c>
      <c r="F29" s="4">
        <f t="shared" si="0"/>
        <v>6</v>
      </c>
    </row>
    <row r="30" spans="1:6" x14ac:dyDescent="0.25">
      <c r="A30" s="4">
        <v>28</v>
      </c>
      <c r="B30" s="4" t="s">
        <v>36</v>
      </c>
      <c r="C30" s="4" t="s">
        <v>7</v>
      </c>
      <c r="D30" s="4">
        <v>0</v>
      </c>
      <c r="E30" s="4">
        <v>0.69</v>
      </c>
      <c r="F30" s="4">
        <f t="shared" si="0"/>
        <v>0</v>
      </c>
    </row>
    <row r="31" spans="1:6" x14ac:dyDescent="0.25">
      <c r="A31" s="4">
        <v>29</v>
      </c>
      <c r="B31" s="4" t="s">
        <v>40</v>
      </c>
      <c r="C31" s="4" t="s">
        <v>7</v>
      </c>
      <c r="D31" s="4">
        <v>0</v>
      </c>
      <c r="E31" s="4">
        <v>1.34</v>
      </c>
      <c r="F31" s="4">
        <f t="shared" si="0"/>
        <v>0</v>
      </c>
    </row>
    <row r="32" spans="1:6" x14ac:dyDescent="0.25">
      <c r="A32" s="4">
        <v>30</v>
      </c>
      <c r="B32" s="4" t="s">
        <v>37</v>
      </c>
      <c r="C32" s="4" t="s">
        <v>10</v>
      </c>
      <c r="D32" s="4">
        <v>0</v>
      </c>
      <c r="E32" s="4">
        <v>6.82</v>
      </c>
      <c r="F32" s="4">
        <f t="shared" si="0"/>
        <v>0</v>
      </c>
    </row>
    <row r="33" spans="1:11" x14ac:dyDescent="0.25">
      <c r="A33" s="4">
        <v>31</v>
      </c>
      <c r="B33" s="4" t="s">
        <v>38</v>
      </c>
      <c r="C33" s="4" t="s">
        <v>10</v>
      </c>
      <c r="D33" s="4">
        <v>0</v>
      </c>
      <c r="E33" s="4">
        <v>5.84</v>
      </c>
      <c r="F33" s="4">
        <f t="shared" si="0"/>
        <v>0</v>
      </c>
    </row>
    <row r="34" spans="1:11" x14ac:dyDescent="0.25">
      <c r="A34" s="4">
        <v>32</v>
      </c>
      <c r="B34" s="4" t="s">
        <v>39</v>
      </c>
      <c r="C34" s="4" t="s">
        <v>10</v>
      </c>
      <c r="D34" s="4">
        <v>0</v>
      </c>
      <c r="E34" s="4">
        <v>9.74</v>
      </c>
      <c r="F34" s="4">
        <f t="shared" si="0"/>
        <v>0</v>
      </c>
    </row>
    <row r="35" spans="1:11" x14ac:dyDescent="0.25">
      <c r="A35" s="4">
        <v>33</v>
      </c>
      <c r="B35" s="4" t="s">
        <v>41</v>
      </c>
      <c r="C35" s="4" t="s">
        <v>10</v>
      </c>
      <c r="D35" s="4">
        <v>0</v>
      </c>
      <c r="E35" s="4">
        <v>6.23</v>
      </c>
      <c r="F35" s="4">
        <f t="shared" ref="F35:F55" si="1">+D35*E35</f>
        <v>0</v>
      </c>
    </row>
    <row r="36" spans="1:11" x14ac:dyDescent="0.25">
      <c r="A36" s="4">
        <v>34</v>
      </c>
      <c r="B36" s="4" t="s">
        <v>42</v>
      </c>
      <c r="C36" s="4" t="s">
        <v>10</v>
      </c>
      <c r="D36" s="4">
        <v>0</v>
      </c>
      <c r="E36" s="4">
        <v>8.51</v>
      </c>
      <c r="F36" s="4">
        <f t="shared" si="1"/>
        <v>0</v>
      </c>
    </row>
    <row r="37" spans="1:11" x14ac:dyDescent="0.25">
      <c r="A37" s="4">
        <v>35</v>
      </c>
      <c r="B37" s="4" t="s">
        <v>43</v>
      </c>
      <c r="C37" s="4" t="s">
        <v>10</v>
      </c>
      <c r="D37" s="4">
        <v>0</v>
      </c>
      <c r="E37" s="4">
        <v>3.12</v>
      </c>
      <c r="F37" s="4">
        <f t="shared" si="1"/>
        <v>0</v>
      </c>
    </row>
    <row r="38" spans="1:11" x14ac:dyDescent="0.25">
      <c r="A38" s="4">
        <v>36</v>
      </c>
      <c r="B38" s="4" t="s">
        <v>44</v>
      </c>
      <c r="C38" s="4" t="s">
        <v>10</v>
      </c>
      <c r="D38" s="4">
        <v>0</v>
      </c>
      <c r="E38" s="4">
        <v>5.84</v>
      </c>
      <c r="F38" s="4">
        <f t="shared" si="1"/>
        <v>0</v>
      </c>
    </row>
    <row r="39" spans="1:11" x14ac:dyDescent="0.25">
      <c r="A39" s="4">
        <v>37</v>
      </c>
      <c r="B39" s="4" t="s">
        <v>45</v>
      </c>
      <c r="C39" s="4" t="s">
        <v>10</v>
      </c>
      <c r="D39" s="4">
        <v>0</v>
      </c>
      <c r="E39" s="4">
        <v>20.45</v>
      </c>
      <c r="F39" s="4">
        <f t="shared" si="1"/>
        <v>0</v>
      </c>
    </row>
    <row r="40" spans="1:11" x14ac:dyDescent="0.25">
      <c r="A40" s="4">
        <v>38</v>
      </c>
      <c r="B40" s="4" t="s">
        <v>46</v>
      </c>
      <c r="C40" s="4" t="s">
        <v>10</v>
      </c>
      <c r="D40" s="4">
        <v>2</v>
      </c>
      <c r="E40" s="4">
        <v>11.69</v>
      </c>
      <c r="F40" s="4">
        <f t="shared" si="1"/>
        <v>23.38</v>
      </c>
    </row>
    <row r="41" spans="1:11" x14ac:dyDescent="0.25">
      <c r="A41" s="4">
        <v>39</v>
      </c>
      <c r="B41" s="4" t="s">
        <v>47</v>
      </c>
      <c r="C41" s="4" t="s">
        <v>10</v>
      </c>
      <c r="D41" s="4">
        <v>3</v>
      </c>
      <c r="E41" s="4">
        <v>7.3</v>
      </c>
      <c r="F41" s="4">
        <f t="shared" si="1"/>
        <v>21.9</v>
      </c>
    </row>
    <row r="42" spans="1:11" x14ac:dyDescent="0.25">
      <c r="A42" s="4">
        <v>40</v>
      </c>
      <c r="B42" s="4" t="s">
        <v>48</v>
      </c>
      <c r="C42" s="4" t="s">
        <v>10</v>
      </c>
      <c r="D42" s="4">
        <v>30</v>
      </c>
      <c r="E42" s="4">
        <v>21.82</v>
      </c>
      <c r="F42" s="4">
        <f t="shared" si="1"/>
        <v>654.6</v>
      </c>
    </row>
    <row r="43" spans="1:11" x14ac:dyDescent="0.25">
      <c r="A43" s="4">
        <v>41</v>
      </c>
      <c r="B43" s="4" t="s">
        <v>50</v>
      </c>
      <c r="C43" s="4" t="s">
        <v>10</v>
      </c>
      <c r="D43" s="4">
        <v>6</v>
      </c>
      <c r="E43" s="4">
        <v>3.65</v>
      </c>
      <c r="F43" s="4">
        <f t="shared" si="1"/>
        <v>21.9</v>
      </c>
    </row>
    <row r="44" spans="1:11" x14ac:dyDescent="0.25">
      <c r="A44" s="4">
        <v>42</v>
      </c>
      <c r="B44" s="4" t="s">
        <v>51</v>
      </c>
      <c r="C44" s="4" t="s">
        <v>10</v>
      </c>
      <c r="D44" s="4">
        <v>4</v>
      </c>
      <c r="E44" s="4">
        <v>0.84</v>
      </c>
      <c r="F44" s="4">
        <f t="shared" si="1"/>
        <v>3.36</v>
      </c>
    </row>
    <row r="45" spans="1:11" x14ac:dyDescent="0.25">
      <c r="A45" s="4">
        <v>43</v>
      </c>
      <c r="B45" s="4" t="s">
        <v>52</v>
      </c>
      <c r="C45" s="4" t="s">
        <v>10</v>
      </c>
      <c r="D45" s="4">
        <v>0</v>
      </c>
      <c r="E45" s="4">
        <v>5.19</v>
      </c>
      <c r="F45" s="4">
        <f t="shared" si="1"/>
        <v>0</v>
      </c>
    </row>
    <row r="46" spans="1:11" x14ac:dyDescent="0.25">
      <c r="A46" s="4">
        <v>44</v>
      </c>
      <c r="B46" s="4" t="s">
        <v>53</v>
      </c>
      <c r="C46" s="4" t="s">
        <v>10</v>
      </c>
      <c r="D46" s="4">
        <v>240</v>
      </c>
      <c r="E46" s="4">
        <v>8</v>
      </c>
      <c r="F46" s="4">
        <f t="shared" si="1"/>
        <v>1920</v>
      </c>
    </row>
    <row r="47" spans="1:11" x14ac:dyDescent="0.25">
      <c r="A47" s="4">
        <v>45</v>
      </c>
      <c r="B47" s="4" t="s">
        <v>54</v>
      </c>
      <c r="C47" s="4" t="s">
        <v>10</v>
      </c>
      <c r="D47" s="4">
        <v>1</v>
      </c>
      <c r="E47" s="4">
        <v>250</v>
      </c>
      <c r="F47" s="4">
        <f t="shared" si="1"/>
        <v>250</v>
      </c>
      <c r="G47" s="5"/>
      <c r="H47" s="5"/>
      <c r="I47" s="5"/>
      <c r="J47" s="5"/>
      <c r="K47" s="5"/>
    </row>
    <row r="48" spans="1:11" x14ac:dyDescent="0.25">
      <c r="A48" s="4">
        <v>46</v>
      </c>
      <c r="B48" s="4" t="s">
        <v>55</v>
      </c>
      <c r="C48" s="4" t="s">
        <v>10</v>
      </c>
      <c r="D48" s="4">
        <v>2</v>
      </c>
      <c r="E48" s="4">
        <v>135</v>
      </c>
      <c r="F48" s="4">
        <f t="shared" si="1"/>
        <v>270</v>
      </c>
      <c r="G48" s="5"/>
      <c r="H48" s="5"/>
      <c r="I48" s="5"/>
      <c r="J48" s="5"/>
      <c r="K48" s="5"/>
    </row>
    <row r="49" spans="1:11" x14ac:dyDescent="0.25">
      <c r="A49" s="4">
        <v>47</v>
      </c>
      <c r="B49" s="2" t="s">
        <v>56</v>
      </c>
      <c r="C49" s="4" t="s">
        <v>10</v>
      </c>
      <c r="D49" s="4">
        <v>1</v>
      </c>
      <c r="E49" s="4">
        <v>5500</v>
      </c>
      <c r="F49" s="4">
        <f t="shared" si="1"/>
        <v>5500</v>
      </c>
      <c r="G49" s="5"/>
      <c r="H49" s="5"/>
      <c r="I49" s="5"/>
      <c r="J49" s="5"/>
      <c r="K49" s="5"/>
    </row>
    <row r="50" spans="1:11" x14ac:dyDescent="0.25">
      <c r="A50" s="4">
        <v>48</v>
      </c>
      <c r="B50" s="4" t="s">
        <v>57</v>
      </c>
      <c r="C50" s="4" t="s">
        <v>10</v>
      </c>
      <c r="D50" s="4">
        <v>1</v>
      </c>
      <c r="E50" s="1">
        <v>80</v>
      </c>
      <c r="F50" s="4">
        <f t="shared" si="1"/>
        <v>80</v>
      </c>
      <c r="G50" s="5" t="s">
        <v>80</v>
      </c>
      <c r="H50" s="5"/>
      <c r="I50" s="5"/>
      <c r="J50" s="5"/>
      <c r="K50" s="5"/>
    </row>
    <row r="51" spans="1:11" x14ac:dyDescent="0.25">
      <c r="A51" s="4">
        <v>49</v>
      </c>
      <c r="B51" s="4" t="s">
        <v>58</v>
      </c>
      <c r="C51" s="4" t="s">
        <v>10</v>
      </c>
      <c r="D51" s="4">
        <v>2</v>
      </c>
      <c r="E51" s="4">
        <v>1200</v>
      </c>
      <c r="F51" s="4">
        <f t="shared" si="1"/>
        <v>2400</v>
      </c>
      <c r="G51" s="5" t="s">
        <v>79</v>
      </c>
      <c r="H51" s="5"/>
      <c r="I51" s="5"/>
      <c r="J51" s="5"/>
      <c r="K51" s="5"/>
    </row>
    <row r="52" spans="1:11" x14ac:dyDescent="0.25">
      <c r="A52" s="4">
        <v>50</v>
      </c>
      <c r="B52" s="1" t="s">
        <v>71</v>
      </c>
      <c r="C52" s="4" t="s">
        <v>10</v>
      </c>
      <c r="D52" s="4">
        <v>1</v>
      </c>
      <c r="E52" s="4">
        <v>80</v>
      </c>
      <c r="F52" s="4">
        <f t="shared" si="1"/>
        <v>80</v>
      </c>
      <c r="G52" s="5" t="s">
        <v>77</v>
      </c>
      <c r="H52" s="5" t="s">
        <v>78</v>
      </c>
      <c r="I52" s="5"/>
      <c r="J52" s="5"/>
      <c r="K52" s="5"/>
    </row>
    <row r="53" spans="1:11" x14ac:dyDescent="0.25">
      <c r="A53" s="4">
        <v>51</v>
      </c>
      <c r="B53" s="4" t="s">
        <v>72</v>
      </c>
      <c r="C53" s="4" t="s">
        <v>10</v>
      </c>
      <c r="D53" s="4">
        <v>3</v>
      </c>
      <c r="E53" s="4">
        <v>60</v>
      </c>
      <c r="F53" s="4">
        <f t="shared" si="1"/>
        <v>180</v>
      </c>
      <c r="G53" s="5" t="s">
        <v>75</v>
      </c>
      <c r="H53" s="5" t="s">
        <v>76</v>
      </c>
      <c r="I53" s="5"/>
      <c r="J53" s="5"/>
      <c r="K53" s="5"/>
    </row>
    <row r="54" spans="1:11" x14ac:dyDescent="0.25">
      <c r="A54" s="4">
        <v>52</v>
      </c>
      <c r="B54" s="4" t="s">
        <v>81</v>
      </c>
      <c r="C54" s="4" t="s">
        <v>10</v>
      </c>
      <c r="D54" s="4">
        <v>1</v>
      </c>
      <c r="E54" s="4">
        <v>50</v>
      </c>
      <c r="F54" s="4">
        <f t="shared" si="1"/>
        <v>50</v>
      </c>
      <c r="G54" s="5" t="s">
        <v>73</v>
      </c>
      <c r="H54" s="5" t="s">
        <v>74</v>
      </c>
      <c r="I54" s="5"/>
      <c r="J54" s="5"/>
      <c r="K54" s="5"/>
    </row>
    <row r="55" spans="1:11" x14ac:dyDescent="0.25">
      <c r="A55" s="4">
        <v>53</v>
      </c>
      <c r="B55" s="4"/>
      <c r="C55" s="4"/>
      <c r="D55" s="4"/>
      <c r="E55" s="4"/>
      <c r="F55" s="4">
        <f t="shared" si="1"/>
        <v>0</v>
      </c>
      <c r="G55" s="5"/>
      <c r="H55" s="5"/>
      <c r="I55" s="5"/>
      <c r="J55" s="5"/>
      <c r="K55" s="5"/>
    </row>
    <row r="56" spans="1:11" x14ac:dyDescent="0.25">
      <c r="A56" s="1"/>
      <c r="B56" s="1"/>
      <c r="C56" s="1"/>
      <c r="D56" s="1"/>
      <c r="E56" s="4" t="s">
        <v>59</v>
      </c>
      <c r="F56" s="4">
        <f>SUM(F3:F55)</f>
        <v>12494.310000000001</v>
      </c>
      <c r="G56" s="5"/>
      <c r="H56" s="5"/>
      <c r="I56" s="5"/>
      <c r="J56" s="5"/>
      <c r="K56" s="5"/>
    </row>
    <row r="57" spans="1:11" x14ac:dyDescent="0.25">
      <c r="A57" s="1"/>
      <c r="B57" s="1"/>
      <c r="C57" s="1"/>
      <c r="D57" s="1"/>
      <c r="E57" s="4" t="s">
        <v>60</v>
      </c>
      <c r="F57" s="4">
        <v>1200</v>
      </c>
      <c r="G57" s="5"/>
      <c r="H57" s="5"/>
      <c r="I57" s="5"/>
      <c r="J57" s="5"/>
      <c r="K57" s="5"/>
    </row>
    <row r="58" spans="1:11" x14ac:dyDescent="0.25">
      <c r="A58" s="1"/>
      <c r="B58" s="1"/>
      <c r="C58" s="1"/>
      <c r="D58" s="1"/>
      <c r="E58" s="2" t="s">
        <v>61</v>
      </c>
      <c r="F58" s="4">
        <v>350</v>
      </c>
      <c r="G58" s="6"/>
      <c r="H58" s="5"/>
      <c r="I58" s="5"/>
      <c r="J58" s="5"/>
      <c r="K58" s="5"/>
    </row>
    <row r="59" spans="1:11" x14ac:dyDescent="0.25">
      <c r="A59" s="1"/>
      <c r="B59" s="1"/>
      <c r="C59" s="1"/>
      <c r="D59" s="1"/>
      <c r="E59" s="2" t="s">
        <v>62</v>
      </c>
      <c r="F59" s="4">
        <v>600</v>
      </c>
      <c r="G59" s="6"/>
      <c r="H59" s="5"/>
      <c r="I59" s="5"/>
      <c r="J59" s="5"/>
      <c r="K59" s="5"/>
    </row>
    <row r="60" spans="1:11" x14ac:dyDescent="0.25">
      <c r="A60" s="1"/>
      <c r="B60" s="1"/>
      <c r="C60" s="1"/>
      <c r="D60" s="1"/>
      <c r="E60" s="2" t="s">
        <v>63</v>
      </c>
      <c r="F60" s="4">
        <v>250</v>
      </c>
      <c r="G60" s="6"/>
      <c r="H60" s="5"/>
      <c r="I60" s="5"/>
      <c r="J60" s="5"/>
      <c r="K60" s="5"/>
    </row>
    <row r="61" spans="1:11" x14ac:dyDescent="0.25">
      <c r="A61" s="1"/>
      <c r="B61" s="1"/>
      <c r="C61" s="1"/>
      <c r="D61" s="1"/>
      <c r="E61" s="3" t="s">
        <v>64</v>
      </c>
      <c r="F61" s="4">
        <f>+(F56+F57+F58+F59)*0.12</f>
        <v>1757.3172000000002</v>
      </c>
    </row>
    <row r="62" spans="1:11" x14ac:dyDescent="0.25">
      <c r="A62" s="1"/>
      <c r="B62" s="1"/>
      <c r="C62" s="1"/>
      <c r="D62" s="1"/>
      <c r="E62" s="3" t="s">
        <v>65</v>
      </c>
      <c r="F62" s="4">
        <f>SUM(F56:F60)</f>
        <v>14894.310000000001</v>
      </c>
    </row>
    <row r="63" spans="1:11" x14ac:dyDescent="0.25">
      <c r="A63" s="1"/>
      <c r="B63" s="1"/>
      <c r="C63" s="1"/>
      <c r="D63" s="1"/>
      <c r="E63" s="3" t="s">
        <v>66</v>
      </c>
      <c r="F63" s="4">
        <f>+F62+F61</f>
        <v>16651.627200000003</v>
      </c>
    </row>
    <row r="65" spans="1:6" x14ac:dyDescent="0.25">
      <c r="A65" s="7" t="s">
        <v>68</v>
      </c>
      <c r="B65" s="7"/>
      <c r="C65" s="7"/>
      <c r="D65" s="7"/>
      <c r="E65" s="7"/>
      <c r="F65" s="7"/>
    </row>
    <row r="66" spans="1:6" x14ac:dyDescent="0.25">
      <c r="A66" s="4" t="s">
        <v>0</v>
      </c>
      <c r="B66" s="4" t="s">
        <v>1</v>
      </c>
      <c r="C66" s="4" t="s">
        <v>2</v>
      </c>
      <c r="D66" s="4" t="s">
        <v>3</v>
      </c>
      <c r="E66" s="4" t="s">
        <v>4</v>
      </c>
      <c r="F66" s="4" t="s">
        <v>5</v>
      </c>
    </row>
    <row r="67" spans="1:6" x14ac:dyDescent="0.25">
      <c r="A67" s="4">
        <v>1</v>
      </c>
      <c r="B67" s="4" t="s">
        <v>69</v>
      </c>
      <c r="C67" s="4" t="s">
        <v>49</v>
      </c>
      <c r="D67" s="4">
        <v>1</v>
      </c>
      <c r="E67" s="4">
        <v>187</v>
      </c>
      <c r="F67" s="4">
        <f>+D67*E67</f>
        <v>187</v>
      </c>
    </row>
    <row r="68" spans="1:6" x14ac:dyDescent="0.25">
      <c r="A68" s="4">
        <v>2</v>
      </c>
      <c r="B68" s="4" t="s">
        <v>70</v>
      </c>
      <c r="C68" s="4" t="s">
        <v>10</v>
      </c>
      <c r="D68" s="4">
        <v>1</v>
      </c>
      <c r="E68" s="4">
        <v>80</v>
      </c>
      <c r="F68" s="4">
        <f>+D68*E68</f>
        <v>80</v>
      </c>
    </row>
    <row r="69" spans="1:6" x14ac:dyDescent="0.25">
      <c r="E69" s="4" t="s">
        <v>30</v>
      </c>
      <c r="F69" s="4">
        <f>SUM(F67:F68)</f>
        <v>267</v>
      </c>
    </row>
  </sheetData>
  <mergeCells count="2">
    <mergeCell ref="A1:F1"/>
    <mergeCell ref="A65:F65"/>
  </mergeCells>
  <pageMargins left="0.7" right="0.7" top="0.75" bottom="0.75" header="0.3" footer="0.3"/>
  <pageSetup scale="60"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COSTOS REALES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EEASA AMBATO</dc:creator>
  <cp:lastModifiedBy>EEASA AMBATO</cp:lastModifiedBy>
  <cp:lastPrinted>2026-03-31T19:21:43Z</cp:lastPrinted>
  <dcterms:created xsi:type="dcterms:W3CDTF">2026-03-24T19:37:36Z</dcterms:created>
  <dcterms:modified xsi:type="dcterms:W3CDTF">2026-04-09T18:22:37Z</dcterms:modified>
</cp:coreProperties>
</file>